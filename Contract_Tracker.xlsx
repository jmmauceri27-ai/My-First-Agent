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Contract Timeline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;;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8"/>
    </font>
    <font>
      <name val="Calibri"/>
      <b val="1"/>
      <color rgb="00FF0000"/>
      <sz val="8"/>
    </font>
    <font>
      <b val="1"/>
      <color rgb="00FFFFFF"/>
      <sz val="10"/>
    </font>
    <font>
      <sz val="10"/>
    </font>
    <font>
      <b val="1"/>
      <color rgb="00FF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D966"/>
      </patternFill>
    </fill>
    <fill>
      <patternFill patternType="solid">
        <fgColor rgb="009DC3E6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1F3864"/>
      </top>
      <bottom style="medium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medium">
        <color rgb="00FF0000"/>
      </left>
      <right style="medium">
        <color rgb="00FF0000"/>
      </right>
      <top style="medium">
        <color rgb="001F3864"/>
      </top>
      <bottom style="medium">
        <color rgb="001F3864"/>
      </bottom>
    </border>
    <border>
      <left style="medium">
        <color rgb="00FF0000"/>
      </left>
      <right style="medium">
        <color rgb="00FF0000"/>
      </right>
      <top style="thin">
        <color rgb="00BDD7EE"/>
      </top>
      <bottom style="thin">
        <color rgb="00BDD7EE"/>
      </bottom>
    </border>
    <border>
      <left style="medium">
        <color rgb="00FF0000"/>
      </left>
      <right style="medium">
        <color rgb="00FF0000"/>
      </right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165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 indent="1"/>
    </xf>
    <xf numFmtId="165" fontId="3" fillId="5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166" fontId="0" fillId="3" borderId="2" pivotButton="0" quotePrefix="0" xfId="0"/>
    <xf numFmtId="166" fontId="0" fillId="4" borderId="2" pivotButton="0" quotePrefix="0" xfId="0"/>
    <xf numFmtId="166" fontId="0" fillId="4" borderId="4" pivotButton="0" quotePrefix="0" xfId="0"/>
    <xf numFmtId="166" fontId="0" fillId="5" borderId="2" pivotButton="0" quotePrefix="0" xfId="0"/>
    <xf numFmtId="166" fontId="0" fillId="5" borderId="4" pivotButton="0" quotePrefix="0" xfId="0"/>
    <xf numFmtId="166" fontId="0" fillId="6" borderId="2" pivotButton="0" quotePrefix="0" xfId="0"/>
    <xf numFmtId="166" fontId="0" fillId="7" borderId="2" pivotButton="0" quotePrefix="0" xfId="0"/>
    <xf numFmtId="166" fontId="0" fillId="7" borderId="4" pivotButton="0" quotePrefix="0" xfId="0"/>
    <xf numFmtId="166" fontId="0" fillId="8" borderId="2" pivotButton="0" quotePrefix="0" xfId="0"/>
    <xf numFmtId="166" fontId="0" fillId="9" borderId="2" pivotButton="0" quotePrefix="0" xfId="0"/>
    <xf numFmtId="166" fontId="0" fillId="9" borderId="4" pivotButton="0" quotePrefix="0" xfId="0"/>
    <xf numFmtId="0" fontId="7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8" fillId="0" borderId="0" applyAlignment="1" pivotButton="0" quotePrefix="0" xfId="0">
      <alignment vertical="center" inden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0" borderId="5" pivotButton="0" quotePrefix="0" xfId="0"/>
    <xf numFmtId="0" fontId="9" fillId="0" borderId="0" applyAlignment="1" pivotButton="0" quotePrefix="0" xfId="0">
      <alignment vertical="center" indent="1"/>
    </xf>
  </cellXfs>
  <cellStyles count="1">
    <cellStyle name="Normal" xfId="0" builtinId="0" hidden="0"/>
  </cellStyles>
  <dxfs count="7">
    <dxf>
      <fill>
        <patternFill patternType="solid">
          <fgColor rgb="002E75B6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00DCE6F1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FFD966"/>
        </patternFill>
      </fill>
    </dxf>
    <dxf>
      <fill>
        <patternFill patternType="solid">
          <fgColor rgb="009DC3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6" customWidth="1" min="4" max="4"/>
    <col width="13" customWidth="1" min="5" max="5"/>
    <col width="13" customWidth="1" min="6" max="6"/>
    <col width="16" customWidth="1" min="7" max="7"/>
    <col width="12" customWidth="1" min="8" max="8"/>
    <col width="20" customWidth="1" min="9" max="9"/>
    <col width="14" customWidth="1" min="10" max="10"/>
    <col width="30" customWidth="1" min="11" max="11"/>
  </cols>
  <sheetData>
    <row r="1" ht="28" customHeight="1">
      <c r="A1" s="1" t="inlineStr">
        <is>
          <t>CONTRACT MASTER LIST</t>
        </is>
      </c>
    </row>
    <row r="2" ht="20" customHeight="1">
      <c r="A2" s="2" t="inlineStr">
        <is>
          <t>#</t>
        </is>
      </c>
      <c r="B2" s="2" t="inlineStr">
        <is>
          <t>Client</t>
        </is>
      </c>
      <c r="C2" s="2" t="inlineStr">
        <is>
          <t>Trade / Service</t>
        </is>
      </c>
      <c r="D2" s="2" t="inlineStr">
        <is>
          <t>Contract #</t>
        </is>
      </c>
      <c r="E2" s="2" t="inlineStr">
        <is>
          <t>Start Date</t>
        </is>
      </c>
      <c r="F2" s="2" t="inlineStr">
        <is>
          <t>End Date</t>
        </is>
      </c>
      <c r="G2" s="2" t="inlineStr">
        <is>
          <t>Duration (days)</t>
        </is>
      </c>
      <c r="H2" s="2" t="inlineStr">
        <is>
          <t>Auto-Renew?</t>
        </is>
      </c>
      <c r="I2" s="2" t="inlineStr">
        <is>
          <t>Notice Period (days)</t>
        </is>
      </c>
      <c r="J2" s="2" t="inlineStr">
        <is>
          <t>Value ($)</t>
        </is>
      </c>
      <c r="K2" s="2" t="inlineStr">
        <is>
          <t>Notes</t>
        </is>
      </c>
    </row>
    <row r="3">
      <c r="A3" s="3" t="n">
        <v>1</v>
      </c>
      <c r="B3" s="4" t="inlineStr">
        <is>
          <t>Acme Corp</t>
        </is>
      </c>
      <c r="C3" s="4" t="inlineStr">
        <is>
          <t>Electrical</t>
        </is>
      </c>
      <c r="D3" s="3" t="inlineStr">
        <is>
          <t>CTR-001</t>
        </is>
      </c>
      <c r="E3" s="5" t="n">
        <v>45672</v>
      </c>
      <c r="F3" s="5" t="n">
        <v>46022</v>
      </c>
      <c r="G3" s="3">
        <f>IF(AND(E3&lt;&gt;"",F3&lt;&gt;""),F3-E3+1,"")</f>
        <v/>
      </c>
      <c r="H3" s="3" t="inlineStr">
        <is>
          <t>No</t>
        </is>
      </c>
      <c r="I3" s="3" t="n">
        <v>30</v>
      </c>
      <c r="J3" s="3" t="inlineStr"/>
      <c r="K3" s="3" t="inlineStr"/>
    </row>
    <row r="4">
      <c r="A4" s="6" t="n">
        <v>2</v>
      </c>
      <c r="B4" s="7" t="inlineStr">
        <is>
          <t>Acme Corp</t>
        </is>
      </c>
      <c r="C4" s="7" t="inlineStr">
        <is>
          <t>HVAC</t>
        </is>
      </c>
      <c r="D4" s="6" t="inlineStr">
        <is>
          <t>CTR-002</t>
        </is>
      </c>
      <c r="E4" s="8" t="n">
        <v>45717</v>
      </c>
      <c r="F4" s="8" t="n">
        <v>46081</v>
      </c>
      <c r="G4" s="6">
        <f>IF(AND(E4&lt;&gt;"",F4&lt;&gt;""),F4-E4+1,"")</f>
        <v/>
      </c>
      <c r="H4" s="6" t="inlineStr">
        <is>
          <t>No</t>
        </is>
      </c>
      <c r="I4" s="6" t="n">
        <v>30</v>
      </c>
      <c r="J4" s="6" t="inlineStr"/>
      <c r="K4" s="6" t="inlineStr"/>
    </row>
    <row r="5">
      <c r="A5" s="3" t="n">
        <v>3</v>
      </c>
      <c r="B5" s="4" t="inlineStr">
        <is>
          <t>Blue Ridge LLC</t>
        </is>
      </c>
      <c r="C5" s="4" t="inlineStr">
        <is>
          <t>Plumbing</t>
        </is>
      </c>
      <c r="D5" s="3" t="inlineStr">
        <is>
          <t>CTR-003</t>
        </is>
      </c>
      <c r="E5" s="5" t="n">
        <v>45689</v>
      </c>
      <c r="F5" s="5" t="n">
        <v>45869</v>
      </c>
      <c r="G5" s="3">
        <f>IF(AND(E5&lt;&gt;"",F5&lt;&gt;""),F5-E5+1,"")</f>
        <v/>
      </c>
      <c r="H5" s="3" t="inlineStr">
        <is>
          <t>No</t>
        </is>
      </c>
      <c r="I5" s="3" t="n">
        <v>30</v>
      </c>
      <c r="J5" s="3" t="inlineStr"/>
      <c r="K5" s="3" t="inlineStr"/>
    </row>
    <row r="6">
      <c r="A6" s="6" t="n">
        <v>4</v>
      </c>
      <c r="B6" s="7" t="inlineStr">
        <is>
          <t>Blue Ridge LLC</t>
        </is>
      </c>
      <c r="C6" s="7" t="inlineStr">
        <is>
          <t>General Contracting</t>
        </is>
      </c>
      <c r="D6" s="6" t="inlineStr">
        <is>
          <t>CTR-004</t>
        </is>
      </c>
      <c r="E6" s="8" t="n">
        <v>45809</v>
      </c>
      <c r="F6" s="8" t="n">
        <v>46173</v>
      </c>
      <c r="G6" s="6">
        <f>IF(AND(E6&lt;&gt;"",F6&lt;&gt;""),F6-E6+1,"")</f>
        <v/>
      </c>
      <c r="H6" s="6" t="inlineStr">
        <is>
          <t>No</t>
        </is>
      </c>
      <c r="I6" s="6" t="n">
        <v>30</v>
      </c>
      <c r="J6" s="6" t="inlineStr"/>
      <c r="K6" s="6" t="inlineStr"/>
    </row>
    <row r="7">
      <c r="A7" s="3" t="n">
        <v>5</v>
      </c>
      <c r="B7" s="4" t="inlineStr">
        <is>
          <t>Summit Partners</t>
        </is>
      </c>
      <c r="C7" s="4" t="inlineStr">
        <is>
          <t>Roofing</t>
        </is>
      </c>
      <c r="D7" s="3" t="inlineStr">
        <is>
          <t>CTR-005</t>
        </is>
      </c>
      <c r="E7" s="5" t="n">
        <v>45748</v>
      </c>
      <c r="F7" s="5" t="n">
        <v>45930</v>
      </c>
      <c r="G7" s="3">
        <f>IF(AND(E7&lt;&gt;"",F7&lt;&gt;""),F7-E7+1,"")</f>
        <v/>
      </c>
      <c r="H7" s="3" t="inlineStr">
        <is>
          <t>No</t>
        </is>
      </c>
      <c r="I7" s="3" t="n">
        <v>30</v>
      </c>
      <c r="J7" s="3" t="inlineStr"/>
      <c r="K7" s="3" t="inlineStr"/>
    </row>
    <row r="8">
      <c r="A8" s="6" t="n">
        <v>6</v>
      </c>
      <c r="B8" s="7" t="inlineStr">
        <is>
          <t>Summit Partners</t>
        </is>
      </c>
      <c r="C8" s="7" t="inlineStr">
        <is>
          <t>Electrical</t>
        </is>
      </c>
      <c r="D8" s="6" t="inlineStr">
        <is>
          <t>CTR-006</t>
        </is>
      </c>
      <c r="E8" s="8" t="n">
        <v>45901</v>
      </c>
      <c r="F8" s="8" t="n">
        <v>46265</v>
      </c>
      <c r="G8" s="6">
        <f>IF(AND(E8&lt;&gt;"",F8&lt;&gt;""),F8-E8+1,"")</f>
        <v/>
      </c>
      <c r="H8" s="6" t="inlineStr">
        <is>
          <t>No</t>
        </is>
      </c>
      <c r="I8" s="6" t="n">
        <v>30</v>
      </c>
      <c r="J8" s="6" t="inlineStr"/>
      <c r="K8" s="6" t="inlineStr"/>
    </row>
    <row r="9">
      <c r="A9" s="3" t="n">
        <v>7</v>
      </c>
      <c r="B9" s="4" t="inlineStr">
        <is>
          <t>Horizon Group</t>
        </is>
      </c>
      <c r="C9" s="4" t="inlineStr">
        <is>
          <t>Landscaping</t>
        </is>
      </c>
      <c r="D9" s="3" t="inlineStr">
        <is>
          <t>CTR-007</t>
        </is>
      </c>
      <c r="E9" s="5" t="n">
        <v>45658</v>
      </c>
      <c r="F9" s="5" t="n">
        <v>46022</v>
      </c>
      <c r="G9" s="3">
        <f>IF(AND(E9&lt;&gt;"",F9&lt;&gt;""),F9-E9+1,"")</f>
        <v/>
      </c>
      <c r="H9" s="3" t="inlineStr">
        <is>
          <t>No</t>
        </is>
      </c>
      <c r="I9" s="3" t="n">
        <v>30</v>
      </c>
      <c r="J9" s="3" t="inlineStr"/>
      <c r="K9" s="3" t="inlineStr"/>
    </row>
    <row r="10">
      <c r="A10" s="6" t="n">
        <v>8</v>
      </c>
      <c r="B10" s="7" t="inlineStr">
        <is>
          <t>Horizon Group</t>
        </is>
      </c>
      <c r="C10" s="7" t="inlineStr">
        <is>
          <t>Painting</t>
        </is>
      </c>
      <c r="D10" s="6" t="inlineStr">
        <is>
          <t>CTR-008</t>
        </is>
      </c>
      <c r="E10" s="8" t="n">
        <v>45792</v>
      </c>
      <c r="F10" s="8" t="n">
        <v>45975</v>
      </c>
      <c r="G10" s="6">
        <f>IF(AND(E10&lt;&gt;"",F10&lt;&gt;""),F10-E10+1,"")</f>
        <v/>
      </c>
      <c r="H10" s="6" t="inlineStr">
        <is>
          <t>No</t>
        </is>
      </c>
      <c r="I10" s="6" t="n">
        <v>30</v>
      </c>
      <c r="J10" s="6" t="inlineStr"/>
      <c r="K10" s="6" t="inlineStr"/>
    </row>
    <row r="11">
      <c r="A11" s="3" t="n">
        <v>9</v>
      </c>
      <c r="B11" s="4" t="inlineStr">
        <is>
          <t>Crestview Inc</t>
        </is>
      </c>
      <c r="C11" s="4" t="inlineStr">
        <is>
          <t>Flooring</t>
        </is>
      </c>
      <c r="D11" s="3" t="inlineStr">
        <is>
          <t>CTR-009</t>
        </is>
      </c>
      <c r="E11" s="5" t="n">
        <v>45839</v>
      </c>
      <c r="F11" s="5" t="n">
        <v>46203</v>
      </c>
      <c r="G11" s="3">
        <f>IF(AND(E11&lt;&gt;"",F11&lt;&gt;""),F11-E11+1,"")</f>
        <v/>
      </c>
      <c r="H11" s="3" t="inlineStr">
        <is>
          <t>No</t>
        </is>
      </c>
      <c r="I11" s="3" t="n">
        <v>30</v>
      </c>
      <c r="J11" s="3" t="inlineStr"/>
      <c r="K11" s="3" t="inlineStr"/>
    </row>
    <row r="12">
      <c r="A12" s="6" t="n">
        <v>10</v>
      </c>
      <c r="B12" s="7" t="inlineStr">
        <is>
          <t>Crestview Inc</t>
        </is>
      </c>
      <c r="C12" s="7" t="inlineStr">
        <is>
          <t>HVAC</t>
        </is>
      </c>
      <c r="D12" s="6" t="inlineStr">
        <is>
          <t>CTR-010</t>
        </is>
      </c>
      <c r="E12" s="8" t="n">
        <v>45931</v>
      </c>
      <c r="F12" s="8" t="n">
        <v>46112</v>
      </c>
      <c r="G12" s="6">
        <f>IF(AND(E12&lt;&gt;"",F12&lt;&gt;""),F12-E12+1,"")</f>
        <v/>
      </c>
      <c r="H12" s="6" t="inlineStr">
        <is>
          <t>No</t>
        </is>
      </c>
      <c r="I12" s="6" t="n">
        <v>30</v>
      </c>
      <c r="J12" s="6" t="inlineStr"/>
      <c r="K12" s="6" t="inlineStr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3" customWidth="1" min="3" max="3"/>
    <col width="13" customWidth="1" min="4" max="4"/>
    <col width="14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</cols>
  <sheetData>
    <row r="1" ht="28" customHeight="1">
      <c r="A1" s="9" t="inlineStr">
        <is>
          <t>CONTRACT LENGTH TRACKER</t>
        </is>
      </c>
    </row>
    <row r="2" ht="16" customHeight="1">
      <c r="A2" s="10" t="n"/>
      <c r="B2" s="10" t="n"/>
      <c r="C2" s="10" t="n"/>
      <c r="D2" s="10" t="n"/>
      <c r="E2" s="10" t="n"/>
      <c r="F2" s="11" t="inlineStr">
        <is>
          <t>2025</t>
        </is>
      </c>
      <c r="R2" s="11" t="inlineStr">
        <is>
          <t>2026</t>
        </is>
      </c>
    </row>
    <row r="3" ht="20" customHeight="1">
      <c r="A3" s="12" t="inlineStr">
        <is>
          <t>Client</t>
        </is>
      </c>
      <c r="B3" s="12" t="inlineStr">
        <is>
          <t>Trade / Service</t>
        </is>
      </c>
      <c r="C3" s="12" t="inlineStr">
        <is>
          <t>Start Date</t>
        </is>
      </c>
      <c r="D3" s="12" t="inlineStr">
        <is>
          <t>End Date</t>
        </is>
      </c>
      <c r="E3" s="12" t="inlineStr">
        <is>
          <t>Duration (days)</t>
        </is>
      </c>
      <c r="F3" s="13" t="inlineStr">
        <is>
          <t>Jan</t>
        </is>
      </c>
      <c r="G3" s="13" t="inlineStr">
        <is>
          <t>Feb</t>
        </is>
      </c>
      <c r="H3" s="13" t="inlineStr">
        <is>
          <t>Mar</t>
        </is>
      </c>
      <c r="I3" s="13" t="inlineStr">
        <is>
          <t>Apr</t>
        </is>
      </c>
      <c r="J3" s="13" t="inlineStr">
        <is>
          <t>May</t>
        </is>
      </c>
      <c r="K3" s="13" t="inlineStr">
        <is>
          <t>Jun</t>
        </is>
      </c>
      <c r="L3" s="13" t="inlineStr">
        <is>
          <t>Jul</t>
        </is>
      </c>
      <c r="M3" s="13" t="inlineStr">
        <is>
          <t>Aug</t>
        </is>
      </c>
      <c r="N3" s="13" t="inlineStr">
        <is>
          <t>Sep</t>
        </is>
      </c>
      <c r="O3" s="13" t="inlineStr">
        <is>
          <t>Oct</t>
        </is>
      </c>
      <c r="P3" s="13" t="inlineStr">
        <is>
          <t>Nov</t>
        </is>
      </c>
      <c r="Q3" s="13" t="inlineStr">
        <is>
          <t>Dec</t>
        </is>
      </c>
      <c r="R3" s="13" t="inlineStr">
        <is>
          <t>Jan</t>
        </is>
      </c>
      <c r="S3" s="13" t="inlineStr">
        <is>
          <t>Feb</t>
        </is>
      </c>
      <c r="T3" s="13" t="inlineStr">
        <is>
          <t>Mar</t>
        </is>
      </c>
      <c r="U3" s="13" t="inlineStr">
        <is>
          <t>Apr</t>
        </is>
      </c>
      <c r="V3" s="13" t="inlineStr">
        <is>
          <t>May</t>
        </is>
      </c>
      <c r="W3" s="14" t="inlineStr">
        <is>
          <t>Jun</t>
        </is>
      </c>
      <c r="X3" s="13" t="inlineStr">
        <is>
          <t>Jul</t>
        </is>
      </c>
      <c r="Y3" s="13" t="inlineStr">
        <is>
          <t>Aug</t>
        </is>
      </c>
      <c r="Z3" s="13" t="inlineStr">
        <is>
          <t>Sep</t>
        </is>
      </c>
      <c r="AA3" s="13" t="inlineStr">
        <is>
          <t>Oct</t>
        </is>
      </c>
      <c r="AB3" s="13" t="inlineStr">
        <is>
          <t>Nov</t>
        </is>
      </c>
      <c r="AC3" s="13" t="inlineStr">
        <is>
          <t>Dec</t>
        </is>
      </c>
    </row>
    <row r="4" ht="18" customHeight="1">
      <c r="A4" s="4">
        <f>'Contract Data'!B3</f>
        <v/>
      </c>
      <c r="B4" s="4">
        <f>'Contract Data'!C3</f>
        <v/>
      </c>
      <c r="C4" s="5">
        <f>'Contract Data'!E3</f>
        <v/>
      </c>
      <c r="D4" s="5">
        <f>'Contract Data'!F3</f>
        <v/>
      </c>
      <c r="E4" s="3">
        <f>'Contract Data'!G3</f>
        <v/>
      </c>
      <c r="F4" s="15">
        <f>IF(AND('Contract Data'!$E3&lt;=EOMONTH(DATE(2025,1,1),0),'Contract Data'!$F3&gt;=DATE(2025,1,1)),1,"")</f>
        <v/>
      </c>
      <c r="G4" s="15">
        <f>IF(AND('Contract Data'!$E3&lt;=EOMONTH(DATE(2025,2,1),0),'Contract Data'!$F3&gt;=DATE(2025,2,1)),1,"")</f>
        <v/>
      </c>
      <c r="H4" s="15">
        <f>IF(AND('Contract Data'!$E3&lt;=EOMONTH(DATE(2025,3,1),0),'Contract Data'!$F3&gt;=DATE(2025,3,1)),1,"")</f>
        <v/>
      </c>
      <c r="I4" s="15">
        <f>IF(AND('Contract Data'!$E3&lt;=EOMONTH(DATE(2025,4,1),0),'Contract Data'!$F3&gt;=DATE(2025,4,1)),1,"")</f>
        <v/>
      </c>
      <c r="J4" s="15">
        <f>IF(AND('Contract Data'!$E3&lt;=EOMONTH(DATE(2025,5,1),0),'Contract Data'!$F3&gt;=DATE(2025,5,1)),1,"")</f>
        <v/>
      </c>
      <c r="K4" s="15">
        <f>IF(AND('Contract Data'!$E3&lt;=EOMONTH(DATE(2025,6,1),0),'Contract Data'!$F3&gt;=DATE(2025,6,1)),1,"")</f>
        <v/>
      </c>
      <c r="L4" s="15">
        <f>IF(AND('Contract Data'!$E3&lt;=EOMONTH(DATE(2025,7,1),0),'Contract Data'!$F3&gt;=DATE(2025,7,1)),1,"")</f>
        <v/>
      </c>
      <c r="M4" s="15">
        <f>IF(AND('Contract Data'!$E3&lt;=EOMONTH(DATE(2025,8,1),0),'Contract Data'!$F3&gt;=DATE(2025,8,1)),1,"")</f>
        <v/>
      </c>
      <c r="N4" s="15">
        <f>IF(AND('Contract Data'!$E3&lt;=EOMONTH(DATE(2025,9,1),0),'Contract Data'!$F3&gt;=DATE(2025,9,1)),1,"")</f>
        <v/>
      </c>
      <c r="O4" s="15">
        <f>IF(AND('Contract Data'!$E3&lt;=EOMONTH(DATE(2025,10,1),0),'Contract Data'!$F3&gt;=DATE(2025,10,1)),1,"")</f>
        <v/>
      </c>
      <c r="P4" s="15">
        <f>IF(AND('Contract Data'!$E3&lt;=EOMONTH(DATE(2025,11,1),0),'Contract Data'!$F3&gt;=DATE(2025,11,1)),1,"")</f>
        <v/>
      </c>
      <c r="Q4" s="15">
        <f>IF(AND('Contract Data'!$E3&lt;=EOMONTH(DATE(2025,12,1),0),'Contract Data'!$F3&gt;=DATE(2025,12,1)),1,"")</f>
        <v/>
      </c>
      <c r="R4" s="16">
        <f>IF(AND('Contract Data'!$E3&lt;=EOMONTH(DATE(2026,1,1),0),'Contract Data'!$F3&gt;=DATE(2026,1,1)),1,"")</f>
        <v/>
      </c>
      <c r="S4" s="16">
        <f>IF(AND('Contract Data'!$E3&lt;=EOMONTH(DATE(2026,2,1),0),'Contract Data'!$F3&gt;=DATE(2026,2,1)),1,"")</f>
        <v/>
      </c>
      <c r="T4" s="16">
        <f>IF(AND('Contract Data'!$E3&lt;=EOMONTH(DATE(2026,3,1),0),'Contract Data'!$F3&gt;=DATE(2026,3,1)),1,"")</f>
        <v/>
      </c>
      <c r="U4" s="16">
        <f>IF(AND('Contract Data'!$E3&lt;=EOMONTH(DATE(2026,4,1),0),'Contract Data'!$F3&gt;=DATE(2026,4,1)),1,"")</f>
        <v/>
      </c>
      <c r="V4" s="16">
        <f>IF(AND('Contract Data'!$E3&lt;=EOMONTH(DATE(2026,5,1),0),'Contract Data'!$F3&gt;=DATE(2026,5,1)),1,"")</f>
        <v/>
      </c>
      <c r="W4" s="17">
        <f>IF(AND('Contract Data'!$E3&lt;=EOMONTH(DATE(2026,6,1),0),'Contract Data'!$F3&gt;=DATE(2026,6,1)),1,"")</f>
        <v/>
      </c>
      <c r="X4" s="16">
        <f>IF(AND('Contract Data'!$E3&lt;=EOMONTH(DATE(2026,7,1),0),'Contract Data'!$F3&gt;=DATE(2026,7,1)),1,"")</f>
        <v/>
      </c>
      <c r="Y4" s="16">
        <f>IF(AND('Contract Data'!$E3&lt;=EOMONTH(DATE(2026,8,1),0),'Contract Data'!$F3&gt;=DATE(2026,8,1)),1,"")</f>
        <v/>
      </c>
      <c r="Z4" s="16">
        <f>IF(AND('Contract Data'!$E3&lt;=EOMONTH(DATE(2026,9,1),0),'Contract Data'!$F3&gt;=DATE(2026,9,1)),1,"")</f>
        <v/>
      </c>
      <c r="AA4" s="16">
        <f>IF(AND('Contract Data'!$E3&lt;=EOMONTH(DATE(2026,10,1),0),'Contract Data'!$F3&gt;=DATE(2026,10,1)),1,"")</f>
        <v/>
      </c>
      <c r="AB4" s="16">
        <f>IF(AND('Contract Data'!$E3&lt;=EOMONTH(DATE(2026,11,1),0),'Contract Data'!$F3&gt;=DATE(2026,11,1)),1,"")</f>
        <v/>
      </c>
      <c r="AC4" s="16">
        <f>IF(AND('Contract Data'!$E3&lt;=EOMONTH(DATE(2026,12,1),0),'Contract Data'!$F3&gt;=DATE(2026,12,1)),1,"")</f>
        <v/>
      </c>
    </row>
    <row r="5" ht="18" customHeight="1">
      <c r="A5" s="7">
        <f>'Contract Data'!B4</f>
        <v/>
      </c>
      <c r="B5" s="7">
        <f>'Contract Data'!C4</f>
        <v/>
      </c>
      <c r="C5" s="8">
        <f>'Contract Data'!E4</f>
        <v/>
      </c>
      <c r="D5" s="8">
        <f>'Contract Data'!F4</f>
        <v/>
      </c>
      <c r="E5" s="6">
        <f>'Contract Data'!G4</f>
        <v/>
      </c>
      <c r="F5" s="18">
        <f>IF(AND('Contract Data'!$E4&lt;=EOMONTH(DATE(2025,1,1),0),'Contract Data'!$F4&gt;=DATE(2025,1,1)),1,"")</f>
        <v/>
      </c>
      <c r="G5" s="18">
        <f>IF(AND('Contract Data'!$E4&lt;=EOMONTH(DATE(2025,2,1),0),'Contract Data'!$F4&gt;=DATE(2025,2,1)),1,"")</f>
        <v/>
      </c>
      <c r="H5" s="15">
        <f>IF(AND('Contract Data'!$E4&lt;=EOMONTH(DATE(2025,3,1),0),'Contract Data'!$F4&gt;=DATE(2025,3,1)),1,"")</f>
        <v/>
      </c>
      <c r="I5" s="15">
        <f>IF(AND('Contract Data'!$E4&lt;=EOMONTH(DATE(2025,4,1),0),'Contract Data'!$F4&gt;=DATE(2025,4,1)),1,"")</f>
        <v/>
      </c>
      <c r="J5" s="15">
        <f>IF(AND('Contract Data'!$E4&lt;=EOMONTH(DATE(2025,5,1),0),'Contract Data'!$F4&gt;=DATE(2025,5,1)),1,"")</f>
        <v/>
      </c>
      <c r="K5" s="15">
        <f>IF(AND('Contract Data'!$E4&lt;=EOMONTH(DATE(2025,6,1),0),'Contract Data'!$F4&gt;=DATE(2025,6,1)),1,"")</f>
        <v/>
      </c>
      <c r="L5" s="15">
        <f>IF(AND('Contract Data'!$E4&lt;=EOMONTH(DATE(2025,7,1),0),'Contract Data'!$F4&gt;=DATE(2025,7,1)),1,"")</f>
        <v/>
      </c>
      <c r="M5" s="15">
        <f>IF(AND('Contract Data'!$E4&lt;=EOMONTH(DATE(2025,8,1),0),'Contract Data'!$F4&gt;=DATE(2025,8,1)),1,"")</f>
        <v/>
      </c>
      <c r="N5" s="15">
        <f>IF(AND('Contract Data'!$E4&lt;=EOMONTH(DATE(2025,9,1),0),'Contract Data'!$F4&gt;=DATE(2025,9,1)),1,"")</f>
        <v/>
      </c>
      <c r="O5" s="15">
        <f>IF(AND('Contract Data'!$E4&lt;=EOMONTH(DATE(2025,10,1),0),'Contract Data'!$F4&gt;=DATE(2025,10,1)),1,"")</f>
        <v/>
      </c>
      <c r="P5" s="15">
        <f>IF(AND('Contract Data'!$E4&lt;=EOMONTH(DATE(2025,11,1),0),'Contract Data'!$F4&gt;=DATE(2025,11,1)),1,"")</f>
        <v/>
      </c>
      <c r="Q5" s="15">
        <f>IF(AND('Contract Data'!$E4&lt;=EOMONTH(DATE(2025,12,1),0),'Contract Data'!$F4&gt;=DATE(2025,12,1)),1,"")</f>
        <v/>
      </c>
      <c r="R5" s="15">
        <f>IF(AND('Contract Data'!$E4&lt;=EOMONTH(DATE(2026,1,1),0),'Contract Data'!$F4&gt;=DATE(2026,1,1)),1,"")</f>
        <v/>
      </c>
      <c r="S5" s="15">
        <f>IF(AND('Contract Data'!$E4&lt;=EOMONTH(DATE(2026,2,1),0),'Contract Data'!$F4&gt;=DATE(2026,2,1)),1,"")</f>
        <v/>
      </c>
      <c r="T5" s="18">
        <f>IF(AND('Contract Data'!$E4&lt;=EOMONTH(DATE(2026,3,1),0),'Contract Data'!$F4&gt;=DATE(2026,3,1)),1,"")</f>
        <v/>
      </c>
      <c r="U5" s="18">
        <f>IF(AND('Contract Data'!$E4&lt;=EOMONTH(DATE(2026,4,1),0),'Contract Data'!$F4&gt;=DATE(2026,4,1)),1,"")</f>
        <v/>
      </c>
      <c r="V5" s="18">
        <f>IF(AND('Contract Data'!$E4&lt;=EOMONTH(DATE(2026,5,1),0),'Contract Data'!$F4&gt;=DATE(2026,5,1)),1,"")</f>
        <v/>
      </c>
      <c r="W5" s="19">
        <f>IF(AND('Contract Data'!$E4&lt;=EOMONTH(DATE(2026,6,1),0),'Contract Data'!$F4&gt;=DATE(2026,6,1)),1,"")</f>
        <v/>
      </c>
      <c r="X5" s="18">
        <f>IF(AND('Contract Data'!$E4&lt;=EOMONTH(DATE(2026,7,1),0),'Contract Data'!$F4&gt;=DATE(2026,7,1)),1,"")</f>
        <v/>
      </c>
      <c r="Y5" s="18">
        <f>IF(AND('Contract Data'!$E4&lt;=EOMONTH(DATE(2026,8,1),0),'Contract Data'!$F4&gt;=DATE(2026,8,1)),1,"")</f>
        <v/>
      </c>
      <c r="Z5" s="18">
        <f>IF(AND('Contract Data'!$E4&lt;=EOMONTH(DATE(2026,9,1),0),'Contract Data'!$F4&gt;=DATE(2026,9,1)),1,"")</f>
        <v/>
      </c>
      <c r="AA5" s="18">
        <f>IF(AND('Contract Data'!$E4&lt;=EOMONTH(DATE(2026,10,1),0),'Contract Data'!$F4&gt;=DATE(2026,10,1)),1,"")</f>
        <v/>
      </c>
      <c r="AB5" s="18">
        <f>IF(AND('Contract Data'!$E4&lt;=EOMONTH(DATE(2026,11,1),0),'Contract Data'!$F4&gt;=DATE(2026,11,1)),1,"")</f>
        <v/>
      </c>
      <c r="AC5" s="18">
        <f>IF(AND('Contract Data'!$E4&lt;=EOMONTH(DATE(2026,12,1),0),'Contract Data'!$F4&gt;=DATE(2026,12,1)),1,"")</f>
        <v/>
      </c>
    </row>
    <row r="6" ht="18" customHeight="1">
      <c r="A6" s="4">
        <f>'Contract Data'!B5</f>
        <v/>
      </c>
      <c r="B6" s="4">
        <f>'Contract Data'!C5</f>
        <v/>
      </c>
      <c r="C6" s="5">
        <f>'Contract Data'!E5</f>
        <v/>
      </c>
      <c r="D6" s="5">
        <f>'Contract Data'!F5</f>
        <v/>
      </c>
      <c r="E6" s="3">
        <f>'Contract Data'!G5</f>
        <v/>
      </c>
      <c r="F6" s="16">
        <f>IF(AND('Contract Data'!$E5&lt;=EOMONTH(DATE(2025,1,1),0),'Contract Data'!$F5&gt;=DATE(2025,1,1)),1,"")</f>
        <v/>
      </c>
      <c r="G6" s="20">
        <f>IF(AND('Contract Data'!$E5&lt;=EOMONTH(DATE(2025,2,1),0),'Contract Data'!$F5&gt;=DATE(2025,2,1)),1,"")</f>
        <v/>
      </c>
      <c r="H6" s="20">
        <f>IF(AND('Contract Data'!$E5&lt;=EOMONTH(DATE(2025,3,1),0),'Contract Data'!$F5&gt;=DATE(2025,3,1)),1,"")</f>
        <v/>
      </c>
      <c r="I6" s="20">
        <f>IF(AND('Contract Data'!$E5&lt;=EOMONTH(DATE(2025,4,1),0),'Contract Data'!$F5&gt;=DATE(2025,4,1)),1,"")</f>
        <v/>
      </c>
      <c r="J6" s="20">
        <f>IF(AND('Contract Data'!$E5&lt;=EOMONTH(DATE(2025,5,1),0),'Contract Data'!$F5&gt;=DATE(2025,5,1)),1,"")</f>
        <v/>
      </c>
      <c r="K6" s="20">
        <f>IF(AND('Contract Data'!$E5&lt;=EOMONTH(DATE(2025,6,1),0),'Contract Data'!$F5&gt;=DATE(2025,6,1)),1,"")</f>
        <v/>
      </c>
      <c r="L6" s="20">
        <f>IF(AND('Contract Data'!$E5&lt;=EOMONTH(DATE(2025,7,1),0),'Contract Data'!$F5&gt;=DATE(2025,7,1)),1,"")</f>
        <v/>
      </c>
      <c r="M6" s="16">
        <f>IF(AND('Contract Data'!$E5&lt;=EOMONTH(DATE(2025,8,1),0),'Contract Data'!$F5&gt;=DATE(2025,8,1)),1,"")</f>
        <v/>
      </c>
      <c r="N6" s="16">
        <f>IF(AND('Contract Data'!$E5&lt;=EOMONTH(DATE(2025,9,1),0),'Contract Data'!$F5&gt;=DATE(2025,9,1)),1,"")</f>
        <v/>
      </c>
      <c r="O6" s="16">
        <f>IF(AND('Contract Data'!$E5&lt;=EOMONTH(DATE(2025,10,1),0),'Contract Data'!$F5&gt;=DATE(2025,10,1)),1,"")</f>
        <v/>
      </c>
      <c r="P6" s="16">
        <f>IF(AND('Contract Data'!$E5&lt;=EOMONTH(DATE(2025,11,1),0),'Contract Data'!$F5&gt;=DATE(2025,11,1)),1,"")</f>
        <v/>
      </c>
      <c r="Q6" s="16">
        <f>IF(AND('Contract Data'!$E5&lt;=EOMONTH(DATE(2025,12,1),0),'Contract Data'!$F5&gt;=DATE(2025,12,1)),1,"")</f>
        <v/>
      </c>
      <c r="R6" s="16">
        <f>IF(AND('Contract Data'!$E5&lt;=EOMONTH(DATE(2026,1,1),0),'Contract Data'!$F5&gt;=DATE(2026,1,1)),1,"")</f>
        <v/>
      </c>
      <c r="S6" s="16">
        <f>IF(AND('Contract Data'!$E5&lt;=EOMONTH(DATE(2026,2,1),0),'Contract Data'!$F5&gt;=DATE(2026,2,1)),1,"")</f>
        <v/>
      </c>
      <c r="T6" s="16">
        <f>IF(AND('Contract Data'!$E5&lt;=EOMONTH(DATE(2026,3,1),0),'Contract Data'!$F5&gt;=DATE(2026,3,1)),1,"")</f>
        <v/>
      </c>
      <c r="U6" s="16">
        <f>IF(AND('Contract Data'!$E5&lt;=EOMONTH(DATE(2026,4,1),0),'Contract Data'!$F5&gt;=DATE(2026,4,1)),1,"")</f>
        <v/>
      </c>
      <c r="V6" s="16">
        <f>IF(AND('Contract Data'!$E5&lt;=EOMONTH(DATE(2026,5,1),0),'Contract Data'!$F5&gt;=DATE(2026,5,1)),1,"")</f>
        <v/>
      </c>
      <c r="W6" s="17">
        <f>IF(AND('Contract Data'!$E5&lt;=EOMONTH(DATE(2026,6,1),0),'Contract Data'!$F5&gt;=DATE(2026,6,1)),1,"")</f>
        <v/>
      </c>
      <c r="X6" s="16">
        <f>IF(AND('Contract Data'!$E5&lt;=EOMONTH(DATE(2026,7,1),0),'Contract Data'!$F5&gt;=DATE(2026,7,1)),1,"")</f>
        <v/>
      </c>
      <c r="Y6" s="16">
        <f>IF(AND('Contract Data'!$E5&lt;=EOMONTH(DATE(2026,8,1),0),'Contract Data'!$F5&gt;=DATE(2026,8,1)),1,"")</f>
        <v/>
      </c>
      <c r="Z6" s="16">
        <f>IF(AND('Contract Data'!$E5&lt;=EOMONTH(DATE(2026,9,1),0),'Contract Data'!$F5&gt;=DATE(2026,9,1)),1,"")</f>
        <v/>
      </c>
      <c r="AA6" s="16">
        <f>IF(AND('Contract Data'!$E5&lt;=EOMONTH(DATE(2026,10,1),0),'Contract Data'!$F5&gt;=DATE(2026,10,1)),1,"")</f>
        <v/>
      </c>
      <c r="AB6" s="16">
        <f>IF(AND('Contract Data'!$E5&lt;=EOMONTH(DATE(2026,11,1),0),'Contract Data'!$F5&gt;=DATE(2026,11,1)),1,"")</f>
        <v/>
      </c>
      <c r="AC6" s="16">
        <f>IF(AND('Contract Data'!$E5&lt;=EOMONTH(DATE(2026,12,1),0),'Contract Data'!$F5&gt;=DATE(2026,12,1)),1,"")</f>
        <v/>
      </c>
    </row>
    <row r="7" ht="18" customHeight="1">
      <c r="A7" s="7">
        <f>'Contract Data'!B6</f>
        <v/>
      </c>
      <c r="B7" s="7">
        <f>'Contract Data'!C6</f>
        <v/>
      </c>
      <c r="C7" s="8">
        <f>'Contract Data'!E6</f>
        <v/>
      </c>
      <c r="D7" s="8">
        <f>'Contract Data'!F6</f>
        <v/>
      </c>
      <c r="E7" s="6">
        <f>'Contract Data'!G6</f>
        <v/>
      </c>
      <c r="F7" s="18">
        <f>IF(AND('Contract Data'!$E6&lt;=EOMONTH(DATE(2025,1,1),0),'Contract Data'!$F6&gt;=DATE(2025,1,1)),1,"")</f>
        <v/>
      </c>
      <c r="G7" s="18">
        <f>IF(AND('Contract Data'!$E6&lt;=EOMONTH(DATE(2025,2,1),0),'Contract Data'!$F6&gt;=DATE(2025,2,1)),1,"")</f>
        <v/>
      </c>
      <c r="H7" s="18">
        <f>IF(AND('Contract Data'!$E6&lt;=EOMONTH(DATE(2025,3,1),0),'Contract Data'!$F6&gt;=DATE(2025,3,1)),1,"")</f>
        <v/>
      </c>
      <c r="I7" s="18">
        <f>IF(AND('Contract Data'!$E6&lt;=EOMONTH(DATE(2025,4,1),0),'Contract Data'!$F6&gt;=DATE(2025,4,1)),1,"")</f>
        <v/>
      </c>
      <c r="J7" s="18">
        <f>IF(AND('Contract Data'!$E6&lt;=EOMONTH(DATE(2025,5,1),0),'Contract Data'!$F6&gt;=DATE(2025,5,1)),1,"")</f>
        <v/>
      </c>
      <c r="K7" s="20">
        <f>IF(AND('Contract Data'!$E6&lt;=EOMONTH(DATE(2025,6,1),0),'Contract Data'!$F6&gt;=DATE(2025,6,1)),1,"")</f>
        <v/>
      </c>
      <c r="L7" s="20">
        <f>IF(AND('Contract Data'!$E6&lt;=EOMONTH(DATE(2025,7,1),0),'Contract Data'!$F6&gt;=DATE(2025,7,1)),1,"")</f>
        <v/>
      </c>
      <c r="M7" s="20">
        <f>IF(AND('Contract Data'!$E6&lt;=EOMONTH(DATE(2025,8,1),0),'Contract Data'!$F6&gt;=DATE(2025,8,1)),1,"")</f>
        <v/>
      </c>
      <c r="N7" s="20">
        <f>IF(AND('Contract Data'!$E6&lt;=EOMONTH(DATE(2025,9,1),0),'Contract Data'!$F6&gt;=DATE(2025,9,1)),1,"")</f>
        <v/>
      </c>
      <c r="O7" s="20">
        <f>IF(AND('Contract Data'!$E6&lt;=EOMONTH(DATE(2025,10,1),0),'Contract Data'!$F6&gt;=DATE(2025,10,1)),1,"")</f>
        <v/>
      </c>
      <c r="P7" s="20">
        <f>IF(AND('Contract Data'!$E6&lt;=EOMONTH(DATE(2025,11,1),0),'Contract Data'!$F6&gt;=DATE(2025,11,1)),1,"")</f>
        <v/>
      </c>
      <c r="Q7" s="20">
        <f>IF(AND('Contract Data'!$E6&lt;=EOMONTH(DATE(2025,12,1),0),'Contract Data'!$F6&gt;=DATE(2025,12,1)),1,"")</f>
        <v/>
      </c>
      <c r="R7" s="20">
        <f>IF(AND('Contract Data'!$E6&lt;=EOMONTH(DATE(2026,1,1),0),'Contract Data'!$F6&gt;=DATE(2026,1,1)),1,"")</f>
        <v/>
      </c>
      <c r="S7" s="20">
        <f>IF(AND('Contract Data'!$E6&lt;=EOMONTH(DATE(2026,2,1),0),'Contract Data'!$F6&gt;=DATE(2026,2,1)),1,"")</f>
        <v/>
      </c>
      <c r="T7" s="20">
        <f>IF(AND('Contract Data'!$E6&lt;=EOMONTH(DATE(2026,3,1),0),'Contract Data'!$F6&gt;=DATE(2026,3,1)),1,"")</f>
        <v/>
      </c>
      <c r="U7" s="20">
        <f>IF(AND('Contract Data'!$E6&lt;=EOMONTH(DATE(2026,4,1),0),'Contract Data'!$F6&gt;=DATE(2026,4,1)),1,"")</f>
        <v/>
      </c>
      <c r="V7" s="20">
        <f>IF(AND('Contract Data'!$E6&lt;=EOMONTH(DATE(2026,5,1),0),'Contract Data'!$F6&gt;=DATE(2026,5,1)),1,"")</f>
        <v/>
      </c>
      <c r="W7" s="19">
        <f>IF(AND('Contract Data'!$E6&lt;=EOMONTH(DATE(2026,6,1),0),'Contract Data'!$F6&gt;=DATE(2026,6,1)),1,"")</f>
        <v/>
      </c>
      <c r="X7" s="18">
        <f>IF(AND('Contract Data'!$E6&lt;=EOMONTH(DATE(2026,7,1),0),'Contract Data'!$F6&gt;=DATE(2026,7,1)),1,"")</f>
        <v/>
      </c>
      <c r="Y7" s="18">
        <f>IF(AND('Contract Data'!$E6&lt;=EOMONTH(DATE(2026,8,1),0),'Contract Data'!$F6&gt;=DATE(2026,8,1)),1,"")</f>
        <v/>
      </c>
      <c r="Z7" s="18">
        <f>IF(AND('Contract Data'!$E6&lt;=EOMONTH(DATE(2026,9,1),0),'Contract Data'!$F6&gt;=DATE(2026,9,1)),1,"")</f>
        <v/>
      </c>
      <c r="AA7" s="18">
        <f>IF(AND('Contract Data'!$E6&lt;=EOMONTH(DATE(2026,10,1),0),'Contract Data'!$F6&gt;=DATE(2026,10,1)),1,"")</f>
        <v/>
      </c>
      <c r="AB7" s="18">
        <f>IF(AND('Contract Data'!$E6&lt;=EOMONTH(DATE(2026,11,1),0),'Contract Data'!$F6&gt;=DATE(2026,11,1)),1,"")</f>
        <v/>
      </c>
      <c r="AC7" s="18">
        <f>IF(AND('Contract Data'!$E6&lt;=EOMONTH(DATE(2026,12,1),0),'Contract Data'!$F6&gt;=DATE(2026,12,1)),1,"")</f>
        <v/>
      </c>
    </row>
    <row r="8" ht="18" customHeight="1">
      <c r="A8" s="4">
        <f>'Contract Data'!B7</f>
        <v/>
      </c>
      <c r="B8" s="4">
        <f>'Contract Data'!C7</f>
        <v/>
      </c>
      <c r="C8" s="5">
        <f>'Contract Data'!E7</f>
        <v/>
      </c>
      <c r="D8" s="5">
        <f>'Contract Data'!F7</f>
        <v/>
      </c>
      <c r="E8" s="3">
        <f>'Contract Data'!G7</f>
        <v/>
      </c>
      <c r="F8" s="16">
        <f>IF(AND('Contract Data'!$E7&lt;=EOMONTH(DATE(2025,1,1),0),'Contract Data'!$F7&gt;=DATE(2025,1,1)),1,"")</f>
        <v/>
      </c>
      <c r="G8" s="16">
        <f>IF(AND('Contract Data'!$E7&lt;=EOMONTH(DATE(2025,2,1),0),'Contract Data'!$F7&gt;=DATE(2025,2,1)),1,"")</f>
        <v/>
      </c>
      <c r="H8" s="16">
        <f>IF(AND('Contract Data'!$E7&lt;=EOMONTH(DATE(2025,3,1),0),'Contract Data'!$F7&gt;=DATE(2025,3,1)),1,"")</f>
        <v/>
      </c>
      <c r="I8" s="21">
        <f>IF(AND('Contract Data'!$E7&lt;=EOMONTH(DATE(2025,4,1),0),'Contract Data'!$F7&gt;=DATE(2025,4,1)),1,"")</f>
        <v/>
      </c>
      <c r="J8" s="21">
        <f>IF(AND('Contract Data'!$E7&lt;=EOMONTH(DATE(2025,5,1),0),'Contract Data'!$F7&gt;=DATE(2025,5,1)),1,"")</f>
        <v/>
      </c>
      <c r="K8" s="21">
        <f>IF(AND('Contract Data'!$E7&lt;=EOMONTH(DATE(2025,6,1),0),'Contract Data'!$F7&gt;=DATE(2025,6,1)),1,"")</f>
        <v/>
      </c>
      <c r="L8" s="21">
        <f>IF(AND('Contract Data'!$E7&lt;=EOMONTH(DATE(2025,7,1),0),'Contract Data'!$F7&gt;=DATE(2025,7,1)),1,"")</f>
        <v/>
      </c>
      <c r="M8" s="21">
        <f>IF(AND('Contract Data'!$E7&lt;=EOMONTH(DATE(2025,8,1),0),'Contract Data'!$F7&gt;=DATE(2025,8,1)),1,"")</f>
        <v/>
      </c>
      <c r="N8" s="21">
        <f>IF(AND('Contract Data'!$E7&lt;=EOMONTH(DATE(2025,9,1),0),'Contract Data'!$F7&gt;=DATE(2025,9,1)),1,"")</f>
        <v/>
      </c>
      <c r="O8" s="16">
        <f>IF(AND('Contract Data'!$E7&lt;=EOMONTH(DATE(2025,10,1),0),'Contract Data'!$F7&gt;=DATE(2025,10,1)),1,"")</f>
        <v/>
      </c>
      <c r="P8" s="16">
        <f>IF(AND('Contract Data'!$E7&lt;=EOMONTH(DATE(2025,11,1),0),'Contract Data'!$F7&gt;=DATE(2025,11,1)),1,"")</f>
        <v/>
      </c>
      <c r="Q8" s="16">
        <f>IF(AND('Contract Data'!$E7&lt;=EOMONTH(DATE(2025,12,1),0),'Contract Data'!$F7&gt;=DATE(2025,12,1)),1,"")</f>
        <v/>
      </c>
      <c r="R8" s="16">
        <f>IF(AND('Contract Data'!$E7&lt;=EOMONTH(DATE(2026,1,1),0),'Contract Data'!$F7&gt;=DATE(2026,1,1)),1,"")</f>
        <v/>
      </c>
      <c r="S8" s="16">
        <f>IF(AND('Contract Data'!$E7&lt;=EOMONTH(DATE(2026,2,1),0),'Contract Data'!$F7&gt;=DATE(2026,2,1)),1,"")</f>
        <v/>
      </c>
      <c r="T8" s="16">
        <f>IF(AND('Contract Data'!$E7&lt;=EOMONTH(DATE(2026,3,1),0),'Contract Data'!$F7&gt;=DATE(2026,3,1)),1,"")</f>
        <v/>
      </c>
      <c r="U8" s="16">
        <f>IF(AND('Contract Data'!$E7&lt;=EOMONTH(DATE(2026,4,1),0),'Contract Data'!$F7&gt;=DATE(2026,4,1)),1,"")</f>
        <v/>
      </c>
      <c r="V8" s="16">
        <f>IF(AND('Contract Data'!$E7&lt;=EOMONTH(DATE(2026,5,1),0),'Contract Data'!$F7&gt;=DATE(2026,5,1)),1,"")</f>
        <v/>
      </c>
      <c r="W8" s="17">
        <f>IF(AND('Contract Data'!$E7&lt;=EOMONTH(DATE(2026,6,1),0),'Contract Data'!$F7&gt;=DATE(2026,6,1)),1,"")</f>
        <v/>
      </c>
      <c r="X8" s="16">
        <f>IF(AND('Contract Data'!$E7&lt;=EOMONTH(DATE(2026,7,1),0),'Contract Data'!$F7&gt;=DATE(2026,7,1)),1,"")</f>
        <v/>
      </c>
      <c r="Y8" s="16">
        <f>IF(AND('Contract Data'!$E7&lt;=EOMONTH(DATE(2026,8,1),0),'Contract Data'!$F7&gt;=DATE(2026,8,1)),1,"")</f>
        <v/>
      </c>
      <c r="Z8" s="16">
        <f>IF(AND('Contract Data'!$E7&lt;=EOMONTH(DATE(2026,9,1),0),'Contract Data'!$F7&gt;=DATE(2026,9,1)),1,"")</f>
        <v/>
      </c>
      <c r="AA8" s="16">
        <f>IF(AND('Contract Data'!$E7&lt;=EOMONTH(DATE(2026,10,1),0),'Contract Data'!$F7&gt;=DATE(2026,10,1)),1,"")</f>
        <v/>
      </c>
      <c r="AB8" s="16">
        <f>IF(AND('Contract Data'!$E7&lt;=EOMONTH(DATE(2026,11,1),0),'Contract Data'!$F7&gt;=DATE(2026,11,1)),1,"")</f>
        <v/>
      </c>
      <c r="AC8" s="16">
        <f>IF(AND('Contract Data'!$E7&lt;=EOMONTH(DATE(2026,12,1),0),'Contract Data'!$F7&gt;=DATE(2026,12,1)),1,"")</f>
        <v/>
      </c>
    </row>
    <row r="9" ht="18" customHeight="1">
      <c r="A9" s="7">
        <f>'Contract Data'!B8</f>
        <v/>
      </c>
      <c r="B9" s="7">
        <f>'Contract Data'!C8</f>
        <v/>
      </c>
      <c r="C9" s="8">
        <f>'Contract Data'!E8</f>
        <v/>
      </c>
      <c r="D9" s="8">
        <f>'Contract Data'!F8</f>
        <v/>
      </c>
      <c r="E9" s="6">
        <f>'Contract Data'!G8</f>
        <v/>
      </c>
      <c r="F9" s="18">
        <f>IF(AND('Contract Data'!$E8&lt;=EOMONTH(DATE(2025,1,1),0),'Contract Data'!$F8&gt;=DATE(2025,1,1)),1,"")</f>
        <v/>
      </c>
      <c r="G9" s="18">
        <f>IF(AND('Contract Data'!$E8&lt;=EOMONTH(DATE(2025,2,1),0),'Contract Data'!$F8&gt;=DATE(2025,2,1)),1,"")</f>
        <v/>
      </c>
      <c r="H9" s="18">
        <f>IF(AND('Contract Data'!$E8&lt;=EOMONTH(DATE(2025,3,1),0),'Contract Data'!$F8&gt;=DATE(2025,3,1)),1,"")</f>
        <v/>
      </c>
      <c r="I9" s="18">
        <f>IF(AND('Contract Data'!$E8&lt;=EOMONTH(DATE(2025,4,1),0),'Contract Data'!$F8&gt;=DATE(2025,4,1)),1,"")</f>
        <v/>
      </c>
      <c r="J9" s="18">
        <f>IF(AND('Contract Data'!$E8&lt;=EOMONTH(DATE(2025,5,1),0),'Contract Data'!$F8&gt;=DATE(2025,5,1)),1,"")</f>
        <v/>
      </c>
      <c r="K9" s="18">
        <f>IF(AND('Contract Data'!$E8&lt;=EOMONTH(DATE(2025,6,1),0),'Contract Data'!$F8&gt;=DATE(2025,6,1)),1,"")</f>
        <v/>
      </c>
      <c r="L9" s="18">
        <f>IF(AND('Contract Data'!$E8&lt;=EOMONTH(DATE(2025,7,1),0),'Contract Data'!$F8&gt;=DATE(2025,7,1)),1,"")</f>
        <v/>
      </c>
      <c r="M9" s="18">
        <f>IF(AND('Contract Data'!$E8&lt;=EOMONTH(DATE(2025,8,1),0),'Contract Data'!$F8&gt;=DATE(2025,8,1)),1,"")</f>
        <v/>
      </c>
      <c r="N9" s="21">
        <f>IF(AND('Contract Data'!$E8&lt;=EOMONTH(DATE(2025,9,1),0),'Contract Data'!$F8&gt;=DATE(2025,9,1)),1,"")</f>
        <v/>
      </c>
      <c r="O9" s="21">
        <f>IF(AND('Contract Data'!$E8&lt;=EOMONTH(DATE(2025,10,1),0),'Contract Data'!$F8&gt;=DATE(2025,10,1)),1,"")</f>
        <v/>
      </c>
      <c r="P9" s="21">
        <f>IF(AND('Contract Data'!$E8&lt;=EOMONTH(DATE(2025,11,1),0),'Contract Data'!$F8&gt;=DATE(2025,11,1)),1,"")</f>
        <v/>
      </c>
      <c r="Q9" s="21">
        <f>IF(AND('Contract Data'!$E8&lt;=EOMONTH(DATE(2025,12,1),0),'Contract Data'!$F8&gt;=DATE(2025,12,1)),1,"")</f>
        <v/>
      </c>
      <c r="R9" s="21">
        <f>IF(AND('Contract Data'!$E8&lt;=EOMONTH(DATE(2026,1,1),0),'Contract Data'!$F8&gt;=DATE(2026,1,1)),1,"")</f>
        <v/>
      </c>
      <c r="S9" s="21">
        <f>IF(AND('Contract Data'!$E8&lt;=EOMONTH(DATE(2026,2,1),0),'Contract Data'!$F8&gt;=DATE(2026,2,1)),1,"")</f>
        <v/>
      </c>
      <c r="T9" s="21">
        <f>IF(AND('Contract Data'!$E8&lt;=EOMONTH(DATE(2026,3,1),0),'Contract Data'!$F8&gt;=DATE(2026,3,1)),1,"")</f>
        <v/>
      </c>
      <c r="U9" s="21">
        <f>IF(AND('Contract Data'!$E8&lt;=EOMONTH(DATE(2026,4,1),0),'Contract Data'!$F8&gt;=DATE(2026,4,1)),1,"")</f>
        <v/>
      </c>
      <c r="V9" s="21">
        <f>IF(AND('Contract Data'!$E8&lt;=EOMONTH(DATE(2026,5,1),0),'Contract Data'!$F8&gt;=DATE(2026,5,1)),1,"")</f>
        <v/>
      </c>
      <c r="W9" s="22">
        <f>IF(AND('Contract Data'!$E8&lt;=EOMONTH(DATE(2026,6,1),0),'Contract Data'!$F8&gt;=DATE(2026,6,1)),1,"")</f>
        <v/>
      </c>
      <c r="X9" s="21">
        <f>IF(AND('Contract Data'!$E8&lt;=EOMONTH(DATE(2026,7,1),0),'Contract Data'!$F8&gt;=DATE(2026,7,1)),1,"")</f>
        <v/>
      </c>
      <c r="Y9" s="21">
        <f>IF(AND('Contract Data'!$E8&lt;=EOMONTH(DATE(2026,8,1),0),'Contract Data'!$F8&gt;=DATE(2026,8,1)),1,"")</f>
        <v/>
      </c>
      <c r="Z9" s="18">
        <f>IF(AND('Contract Data'!$E8&lt;=EOMONTH(DATE(2026,9,1),0),'Contract Data'!$F8&gt;=DATE(2026,9,1)),1,"")</f>
        <v/>
      </c>
      <c r="AA9" s="18">
        <f>IF(AND('Contract Data'!$E8&lt;=EOMONTH(DATE(2026,10,1),0),'Contract Data'!$F8&gt;=DATE(2026,10,1)),1,"")</f>
        <v/>
      </c>
      <c r="AB9" s="18">
        <f>IF(AND('Contract Data'!$E8&lt;=EOMONTH(DATE(2026,11,1),0),'Contract Data'!$F8&gt;=DATE(2026,11,1)),1,"")</f>
        <v/>
      </c>
      <c r="AC9" s="18">
        <f>IF(AND('Contract Data'!$E8&lt;=EOMONTH(DATE(2026,12,1),0),'Contract Data'!$F8&gt;=DATE(2026,12,1)),1,"")</f>
        <v/>
      </c>
    </row>
    <row r="10" ht="18" customHeight="1">
      <c r="A10" s="4">
        <f>'Contract Data'!B9</f>
        <v/>
      </c>
      <c r="B10" s="4">
        <f>'Contract Data'!C9</f>
        <v/>
      </c>
      <c r="C10" s="5">
        <f>'Contract Data'!E9</f>
        <v/>
      </c>
      <c r="D10" s="5">
        <f>'Contract Data'!F9</f>
        <v/>
      </c>
      <c r="E10" s="3">
        <f>'Contract Data'!G9</f>
        <v/>
      </c>
      <c r="F10" s="23">
        <f>IF(AND('Contract Data'!$E9&lt;=EOMONTH(DATE(2025,1,1),0),'Contract Data'!$F9&gt;=DATE(2025,1,1)),1,"")</f>
        <v/>
      </c>
      <c r="G10" s="23">
        <f>IF(AND('Contract Data'!$E9&lt;=EOMONTH(DATE(2025,2,1),0),'Contract Data'!$F9&gt;=DATE(2025,2,1)),1,"")</f>
        <v/>
      </c>
      <c r="H10" s="23">
        <f>IF(AND('Contract Data'!$E9&lt;=EOMONTH(DATE(2025,3,1),0),'Contract Data'!$F9&gt;=DATE(2025,3,1)),1,"")</f>
        <v/>
      </c>
      <c r="I10" s="23">
        <f>IF(AND('Contract Data'!$E9&lt;=EOMONTH(DATE(2025,4,1),0),'Contract Data'!$F9&gt;=DATE(2025,4,1)),1,"")</f>
        <v/>
      </c>
      <c r="J10" s="23">
        <f>IF(AND('Contract Data'!$E9&lt;=EOMONTH(DATE(2025,5,1),0),'Contract Data'!$F9&gt;=DATE(2025,5,1)),1,"")</f>
        <v/>
      </c>
      <c r="K10" s="23">
        <f>IF(AND('Contract Data'!$E9&lt;=EOMONTH(DATE(2025,6,1),0),'Contract Data'!$F9&gt;=DATE(2025,6,1)),1,"")</f>
        <v/>
      </c>
      <c r="L10" s="23">
        <f>IF(AND('Contract Data'!$E9&lt;=EOMONTH(DATE(2025,7,1),0),'Contract Data'!$F9&gt;=DATE(2025,7,1)),1,"")</f>
        <v/>
      </c>
      <c r="M10" s="23">
        <f>IF(AND('Contract Data'!$E9&lt;=EOMONTH(DATE(2025,8,1),0),'Contract Data'!$F9&gt;=DATE(2025,8,1)),1,"")</f>
        <v/>
      </c>
      <c r="N10" s="23">
        <f>IF(AND('Contract Data'!$E9&lt;=EOMONTH(DATE(2025,9,1),0),'Contract Data'!$F9&gt;=DATE(2025,9,1)),1,"")</f>
        <v/>
      </c>
      <c r="O10" s="23">
        <f>IF(AND('Contract Data'!$E9&lt;=EOMONTH(DATE(2025,10,1),0),'Contract Data'!$F9&gt;=DATE(2025,10,1)),1,"")</f>
        <v/>
      </c>
      <c r="P10" s="23">
        <f>IF(AND('Contract Data'!$E9&lt;=EOMONTH(DATE(2025,11,1),0),'Contract Data'!$F9&gt;=DATE(2025,11,1)),1,"")</f>
        <v/>
      </c>
      <c r="Q10" s="23">
        <f>IF(AND('Contract Data'!$E9&lt;=EOMONTH(DATE(2025,12,1),0),'Contract Data'!$F9&gt;=DATE(2025,12,1)),1,"")</f>
        <v/>
      </c>
      <c r="R10" s="16">
        <f>IF(AND('Contract Data'!$E9&lt;=EOMONTH(DATE(2026,1,1),0),'Contract Data'!$F9&gt;=DATE(2026,1,1)),1,"")</f>
        <v/>
      </c>
      <c r="S10" s="16">
        <f>IF(AND('Contract Data'!$E9&lt;=EOMONTH(DATE(2026,2,1),0),'Contract Data'!$F9&gt;=DATE(2026,2,1)),1,"")</f>
        <v/>
      </c>
      <c r="T10" s="16">
        <f>IF(AND('Contract Data'!$E9&lt;=EOMONTH(DATE(2026,3,1),0),'Contract Data'!$F9&gt;=DATE(2026,3,1)),1,"")</f>
        <v/>
      </c>
      <c r="U10" s="16">
        <f>IF(AND('Contract Data'!$E9&lt;=EOMONTH(DATE(2026,4,1),0),'Contract Data'!$F9&gt;=DATE(2026,4,1)),1,"")</f>
        <v/>
      </c>
      <c r="V10" s="16">
        <f>IF(AND('Contract Data'!$E9&lt;=EOMONTH(DATE(2026,5,1),0),'Contract Data'!$F9&gt;=DATE(2026,5,1)),1,"")</f>
        <v/>
      </c>
      <c r="W10" s="17">
        <f>IF(AND('Contract Data'!$E9&lt;=EOMONTH(DATE(2026,6,1),0),'Contract Data'!$F9&gt;=DATE(2026,6,1)),1,"")</f>
        <v/>
      </c>
      <c r="X10" s="16">
        <f>IF(AND('Contract Data'!$E9&lt;=EOMONTH(DATE(2026,7,1),0),'Contract Data'!$F9&gt;=DATE(2026,7,1)),1,"")</f>
        <v/>
      </c>
      <c r="Y10" s="16">
        <f>IF(AND('Contract Data'!$E9&lt;=EOMONTH(DATE(2026,8,1),0),'Contract Data'!$F9&gt;=DATE(2026,8,1)),1,"")</f>
        <v/>
      </c>
      <c r="Z10" s="16">
        <f>IF(AND('Contract Data'!$E9&lt;=EOMONTH(DATE(2026,9,1),0),'Contract Data'!$F9&gt;=DATE(2026,9,1)),1,"")</f>
        <v/>
      </c>
      <c r="AA10" s="16">
        <f>IF(AND('Contract Data'!$E9&lt;=EOMONTH(DATE(2026,10,1),0),'Contract Data'!$F9&gt;=DATE(2026,10,1)),1,"")</f>
        <v/>
      </c>
      <c r="AB10" s="16">
        <f>IF(AND('Contract Data'!$E9&lt;=EOMONTH(DATE(2026,11,1),0),'Contract Data'!$F9&gt;=DATE(2026,11,1)),1,"")</f>
        <v/>
      </c>
      <c r="AC10" s="16">
        <f>IF(AND('Contract Data'!$E9&lt;=EOMONTH(DATE(2026,12,1),0),'Contract Data'!$F9&gt;=DATE(2026,12,1)),1,"")</f>
        <v/>
      </c>
    </row>
    <row r="11" ht="18" customHeight="1">
      <c r="A11" s="7">
        <f>'Contract Data'!B10</f>
        <v/>
      </c>
      <c r="B11" s="7">
        <f>'Contract Data'!C10</f>
        <v/>
      </c>
      <c r="C11" s="8">
        <f>'Contract Data'!E10</f>
        <v/>
      </c>
      <c r="D11" s="8">
        <f>'Contract Data'!F10</f>
        <v/>
      </c>
      <c r="E11" s="6">
        <f>'Contract Data'!G10</f>
        <v/>
      </c>
      <c r="F11" s="18">
        <f>IF(AND('Contract Data'!$E10&lt;=EOMONTH(DATE(2025,1,1),0),'Contract Data'!$F10&gt;=DATE(2025,1,1)),1,"")</f>
        <v/>
      </c>
      <c r="G11" s="18">
        <f>IF(AND('Contract Data'!$E10&lt;=EOMONTH(DATE(2025,2,1),0),'Contract Data'!$F10&gt;=DATE(2025,2,1)),1,"")</f>
        <v/>
      </c>
      <c r="H11" s="18">
        <f>IF(AND('Contract Data'!$E10&lt;=EOMONTH(DATE(2025,3,1),0),'Contract Data'!$F10&gt;=DATE(2025,3,1)),1,"")</f>
        <v/>
      </c>
      <c r="I11" s="18">
        <f>IF(AND('Contract Data'!$E10&lt;=EOMONTH(DATE(2025,4,1),0),'Contract Data'!$F10&gt;=DATE(2025,4,1)),1,"")</f>
        <v/>
      </c>
      <c r="J11" s="23">
        <f>IF(AND('Contract Data'!$E10&lt;=EOMONTH(DATE(2025,5,1),0),'Contract Data'!$F10&gt;=DATE(2025,5,1)),1,"")</f>
        <v/>
      </c>
      <c r="K11" s="23">
        <f>IF(AND('Contract Data'!$E10&lt;=EOMONTH(DATE(2025,6,1),0),'Contract Data'!$F10&gt;=DATE(2025,6,1)),1,"")</f>
        <v/>
      </c>
      <c r="L11" s="23">
        <f>IF(AND('Contract Data'!$E10&lt;=EOMONTH(DATE(2025,7,1),0),'Contract Data'!$F10&gt;=DATE(2025,7,1)),1,"")</f>
        <v/>
      </c>
      <c r="M11" s="23">
        <f>IF(AND('Contract Data'!$E10&lt;=EOMONTH(DATE(2025,8,1),0),'Contract Data'!$F10&gt;=DATE(2025,8,1)),1,"")</f>
        <v/>
      </c>
      <c r="N11" s="23">
        <f>IF(AND('Contract Data'!$E10&lt;=EOMONTH(DATE(2025,9,1),0),'Contract Data'!$F10&gt;=DATE(2025,9,1)),1,"")</f>
        <v/>
      </c>
      <c r="O11" s="23">
        <f>IF(AND('Contract Data'!$E10&lt;=EOMONTH(DATE(2025,10,1),0),'Contract Data'!$F10&gt;=DATE(2025,10,1)),1,"")</f>
        <v/>
      </c>
      <c r="P11" s="23">
        <f>IF(AND('Contract Data'!$E10&lt;=EOMONTH(DATE(2025,11,1),0),'Contract Data'!$F10&gt;=DATE(2025,11,1)),1,"")</f>
        <v/>
      </c>
      <c r="Q11" s="18">
        <f>IF(AND('Contract Data'!$E10&lt;=EOMONTH(DATE(2025,12,1),0),'Contract Data'!$F10&gt;=DATE(2025,12,1)),1,"")</f>
        <v/>
      </c>
      <c r="R11" s="18">
        <f>IF(AND('Contract Data'!$E10&lt;=EOMONTH(DATE(2026,1,1),0),'Contract Data'!$F10&gt;=DATE(2026,1,1)),1,"")</f>
        <v/>
      </c>
      <c r="S11" s="18">
        <f>IF(AND('Contract Data'!$E10&lt;=EOMONTH(DATE(2026,2,1),0),'Contract Data'!$F10&gt;=DATE(2026,2,1)),1,"")</f>
        <v/>
      </c>
      <c r="T11" s="18">
        <f>IF(AND('Contract Data'!$E10&lt;=EOMONTH(DATE(2026,3,1),0),'Contract Data'!$F10&gt;=DATE(2026,3,1)),1,"")</f>
        <v/>
      </c>
      <c r="U11" s="18">
        <f>IF(AND('Contract Data'!$E10&lt;=EOMONTH(DATE(2026,4,1),0),'Contract Data'!$F10&gt;=DATE(2026,4,1)),1,"")</f>
        <v/>
      </c>
      <c r="V11" s="18">
        <f>IF(AND('Contract Data'!$E10&lt;=EOMONTH(DATE(2026,5,1),0),'Contract Data'!$F10&gt;=DATE(2026,5,1)),1,"")</f>
        <v/>
      </c>
      <c r="W11" s="19">
        <f>IF(AND('Contract Data'!$E10&lt;=EOMONTH(DATE(2026,6,1),0),'Contract Data'!$F10&gt;=DATE(2026,6,1)),1,"")</f>
        <v/>
      </c>
      <c r="X11" s="18">
        <f>IF(AND('Contract Data'!$E10&lt;=EOMONTH(DATE(2026,7,1),0),'Contract Data'!$F10&gt;=DATE(2026,7,1)),1,"")</f>
        <v/>
      </c>
      <c r="Y11" s="18">
        <f>IF(AND('Contract Data'!$E10&lt;=EOMONTH(DATE(2026,8,1),0),'Contract Data'!$F10&gt;=DATE(2026,8,1)),1,"")</f>
        <v/>
      </c>
      <c r="Z11" s="18">
        <f>IF(AND('Contract Data'!$E10&lt;=EOMONTH(DATE(2026,9,1),0),'Contract Data'!$F10&gt;=DATE(2026,9,1)),1,"")</f>
        <v/>
      </c>
      <c r="AA11" s="18">
        <f>IF(AND('Contract Data'!$E10&lt;=EOMONTH(DATE(2026,10,1),0),'Contract Data'!$F10&gt;=DATE(2026,10,1)),1,"")</f>
        <v/>
      </c>
      <c r="AB11" s="18">
        <f>IF(AND('Contract Data'!$E10&lt;=EOMONTH(DATE(2026,11,1),0),'Contract Data'!$F10&gt;=DATE(2026,11,1)),1,"")</f>
        <v/>
      </c>
      <c r="AC11" s="18">
        <f>IF(AND('Contract Data'!$E10&lt;=EOMONTH(DATE(2026,12,1),0),'Contract Data'!$F10&gt;=DATE(2026,12,1)),1,"")</f>
        <v/>
      </c>
    </row>
    <row r="12" ht="18" customHeight="1">
      <c r="A12" s="4">
        <f>'Contract Data'!B11</f>
        <v/>
      </c>
      <c r="B12" s="4">
        <f>'Contract Data'!C11</f>
        <v/>
      </c>
      <c r="C12" s="5">
        <f>'Contract Data'!E11</f>
        <v/>
      </c>
      <c r="D12" s="5">
        <f>'Contract Data'!F11</f>
        <v/>
      </c>
      <c r="E12" s="3">
        <f>'Contract Data'!G11</f>
        <v/>
      </c>
      <c r="F12" s="16">
        <f>IF(AND('Contract Data'!$E11&lt;=EOMONTH(DATE(2025,1,1),0),'Contract Data'!$F11&gt;=DATE(2025,1,1)),1,"")</f>
        <v/>
      </c>
      <c r="G12" s="16">
        <f>IF(AND('Contract Data'!$E11&lt;=EOMONTH(DATE(2025,2,1),0),'Contract Data'!$F11&gt;=DATE(2025,2,1)),1,"")</f>
        <v/>
      </c>
      <c r="H12" s="16">
        <f>IF(AND('Contract Data'!$E11&lt;=EOMONTH(DATE(2025,3,1),0),'Contract Data'!$F11&gt;=DATE(2025,3,1)),1,"")</f>
        <v/>
      </c>
      <c r="I12" s="16">
        <f>IF(AND('Contract Data'!$E11&lt;=EOMONTH(DATE(2025,4,1),0),'Contract Data'!$F11&gt;=DATE(2025,4,1)),1,"")</f>
        <v/>
      </c>
      <c r="J12" s="16">
        <f>IF(AND('Contract Data'!$E11&lt;=EOMONTH(DATE(2025,5,1),0),'Contract Data'!$F11&gt;=DATE(2025,5,1)),1,"")</f>
        <v/>
      </c>
      <c r="K12" s="16">
        <f>IF(AND('Contract Data'!$E11&lt;=EOMONTH(DATE(2025,6,1),0),'Contract Data'!$F11&gt;=DATE(2025,6,1)),1,"")</f>
        <v/>
      </c>
      <c r="L12" s="24">
        <f>IF(AND('Contract Data'!$E11&lt;=EOMONTH(DATE(2025,7,1),0),'Contract Data'!$F11&gt;=DATE(2025,7,1)),1,"")</f>
        <v/>
      </c>
      <c r="M12" s="24">
        <f>IF(AND('Contract Data'!$E11&lt;=EOMONTH(DATE(2025,8,1),0),'Contract Data'!$F11&gt;=DATE(2025,8,1)),1,"")</f>
        <v/>
      </c>
      <c r="N12" s="24">
        <f>IF(AND('Contract Data'!$E11&lt;=EOMONTH(DATE(2025,9,1),0),'Contract Data'!$F11&gt;=DATE(2025,9,1)),1,"")</f>
        <v/>
      </c>
      <c r="O12" s="24">
        <f>IF(AND('Contract Data'!$E11&lt;=EOMONTH(DATE(2025,10,1),0),'Contract Data'!$F11&gt;=DATE(2025,10,1)),1,"")</f>
        <v/>
      </c>
      <c r="P12" s="24">
        <f>IF(AND('Contract Data'!$E11&lt;=EOMONTH(DATE(2025,11,1),0),'Contract Data'!$F11&gt;=DATE(2025,11,1)),1,"")</f>
        <v/>
      </c>
      <c r="Q12" s="24">
        <f>IF(AND('Contract Data'!$E11&lt;=EOMONTH(DATE(2025,12,1),0),'Contract Data'!$F11&gt;=DATE(2025,12,1)),1,"")</f>
        <v/>
      </c>
      <c r="R12" s="24">
        <f>IF(AND('Contract Data'!$E11&lt;=EOMONTH(DATE(2026,1,1),0),'Contract Data'!$F11&gt;=DATE(2026,1,1)),1,"")</f>
        <v/>
      </c>
      <c r="S12" s="24">
        <f>IF(AND('Contract Data'!$E11&lt;=EOMONTH(DATE(2026,2,1),0),'Contract Data'!$F11&gt;=DATE(2026,2,1)),1,"")</f>
        <v/>
      </c>
      <c r="T12" s="24">
        <f>IF(AND('Contract Data'!$E11&lt;=EOMONTH(DATE(2026,3,1),0),'Contract Data'!$F11&gt;=DATE(2026,3,1)),1,"")</f>
        <v/>
      </c>
      <c r="U12" s="24">
        <f>IF(AND('Contract Data'!$E11&lt;=EOMONTH(DATE(2026,4,1),0),'Contract Data'!$F11&gt;=DATE(2026,4,1)),1,"")</f>
        <v/>
      </c>
      <c r="V12" s="24">
        <f>IF(AND('Contract Data'!$E11&lt;=EOMONTH(DATE(2026,5,1),0),'Contract Data'!$F11&gt;=DATE(2026,5,1)),1,"")</f>
        <v/>
      </c>
      <c r="W12" s="25">
        <f>IF(AND('Contract Data'!$E11&lt;=EOMONTH(DATE(2026,6,1),0),'Contract Data'!$F11&gt;=DATE(2026,6,1)),1,"")</f>
        <v/>
      </c>
      <c r="X12" s="16">
        <f>IF(AND('Contract Data'!$E11&lt;=EOMONTH(DATE(2026,7,1),0),'Contract Data'!$F11&gt;=DATE(2026,7,1)),1,"")</f>
        <v/>
      </c>
      <c r="Y12" s="16">
        <f>IF(AND('Contract Data'!$E11&lt;=EOMONTH(DATE(2026,8,1),0),'Contract Data'!$F11&gt;=DATE(2026,8,1)),1,"")</f>
        <v/>
      </c>
      <c r="Z12" s="16">
        <f>IF(AND('Contract Data'!$E11&lt;=EOMONTH(DATE(2026,9,1),0),'Contract Data'!$F11&gt;=DATE(2026,9,1)),1,"")</f>
        <v/>
      </c>
      <c r="AA12" s="16">
        <f>IF(AND('Contract Data'!$E11&lt;=EOMONTH(DATE(2026,10,1),0),'Contract Data'!$F11&gt;=DATE(2026,10,1)),1,"")</f>
        <v/>
      </c>
      <c r="AB12" s="16">
        <f>IF(AND('Contract Data'!$E11&lt;=EOMONTH(DATE(2026,11,1),0),'Contract Data'!$F11&gt;=DATE(2026,11,1)),1,"")</f>
        <v/>
      </c>
      <c r="AC12" s="16">
        <f>IF(AND('Contract Data'!$E11&lt;=EOMONTH(DATE(2026,12,1),0),'Contract Data'!$F11&gt;=DATE(2026,12,1)),1,"")</f>
        <v/>
      </c>
    </row>
    <row r="13" ht="18" customHeight="1">
      <c r="A13" s="7">
        <f>'Contract Data'!B12</f>
        <v/>
      </c>
      <c r="B13" s="7">
        <f>'Contract Data'!C12</f>
        <v/>
      </c>
      <c r="C13" s="8">
        <f>'Contract Data'!E12</f>
        <v/>
      </c>
      <c r="D13" s="8">
        <f>'Contract Data'!F12</f>
        <v/>
      </c>
      <c r="E13" s="6">
        <f>'Contract Data'!G12</f>
        <v/>
      </c>
      <c r="F13" s="18">
        <f>IF(AND('Contract Data'!$E12&lt;=EOMONTH(DATE(2025,1,1),0),'Contract Data'!$F12&gt;=DATE(2025,1,1)),1,"")</f>
        <v/>
      </c>
      <c r="G13" s="18">
        <f>IF(AND('Contract Data'!$E12&lt;=EOMONTH(DATE(2025,2,1),0),'Contract Data'!$F12&gt;=DATE(2025,2,1)),1,"")</f>
        <v/>
      </c>
      <c r="H13" s="18">
        <f>IF(AND('Contract Data'!$E12&lt;=EOMONTH(DATE(2025,3,1),0),'Contract Data'!$F12&gt;=DATE(2025,3,1)),1,"")</f>
        <v/>
      </c>
      <c r="I13" s="18">
        <f>IF(AND('Contract Data'!$E12&lt;=EOMONTH(DATE(2025,4,1),0),'Contract Data'!$F12&gt;=DATE(2025,4,1)),1,"")</f>
        <v/>
      </c>
      <c r="J13" s="18">
        <f>IF(AND('Contract Data'!$E12&lt;=EOMONTH(DATE(2025,5,1),0),'Contract Data'!$F12&gt;=DATE(2025,5,1)),1,"")</f>
        <v/>
      </c>
      <c r="K13" s="18">
        <f>IF(AND('Contract Data'!$E12&lt;=EOMONTH(DATE(2025,6,1),0),'Contract Data'!$F12&gt;=DATE(2025,6,1)),1,"")</f>
        <v/>
      </c>
      <c r="L13" s="18">
        <f>IF(AND('Contract Data'!$E12&lt;=EOMONTH(DATE(2025,7,1),0),'Contract Data'!$F12&gt;=DATE(2025,7,1)),1,"")</f>
        <v/>
      </c>
      <c r="M13" s="18">
        <f>IF(AND('Contract Data'!$E12&lt;=EOMONTH(DATE(2025,8,1),0),'Contract Data'!$F12&gt;=DATE(2025,8,1)),1,"")</f>
        <v/>
      </c>
      <c r="N13" s="18">
        <f>IF(AND('Contract Data'!$E12&lt;=EOMONTH(DATE(2025,9,1),0),'Contract Data'!$F12&gt;=DATE(2025,9,1)),1,"")</f>
        <v/>
      </c>
      <c r="O13" s="24">
        <f>IF(AND('Contract Data'!$E12&lt;=EOMONTH(DATE(2025,10,1),0),'Contract Data'!$F12&gt;=DATE(2025,10,1)),1,"")</f>
        <v/>
      </c>
      <c r="P13" s="24">
        <f>IF(AND('Contract Data'!$E12&lt;=EOMONTH(DATE(2025,11,1),0),'Contract Data'!$F12&gt;=DATE(2025,11,1)),1,"")</f>
        <v/>
      </c>
      <c r="Q13" s="24">
        <f>IF(AND('Contract Data'!$E12&lt;=EOMONTH(DATE(2025,12,1),0),'Contract Data'!$F12&gt;=DATE(2025,12,1)),1,"")</f>
        <v/>
      </c>
      <c r="R13" s="24">
        <f>IF(AND('Contract Data'!$E12&lt;=EOMONTH(DATE(2026,1,1),0),'Contract Data'!$F12&gt;=DATE(2026,1,1)),1,"")</f>
        <v/>
      </c>
      <c r="S13" s="24">
        <f>IF(AND('Contract Data'!$E12&lt;=EOMONTH(DATE(2026,2,1),0),'Contract Data'!$F12&gt;=DATE(2026,2,1)),1,"")</f>
        <v/>
      </c>
      <c r="T13" s="24">
        <f>IF(AND('Contract Data'!$E12&lt;=EOMONTH(DATE(2026,3,1),0),'Contract Data'!$F12&gt;=DATE(2026,3,1)),1,"")</f>
        <v/>
      </c>
      <c r="U13" s="18">
        <f>IF(AND('Contract Data'!$E12&lt;=EOMONTH(DATE(2026,4,1),0),'Contract Data'!$F12&gt;=DATE(2026,4,1)),1,"")</f>
        <v/>
      </c>
      <c r="V13" s="18">
        <f>IF(AND('Contract Data'!$E12&lt;=EOMONTH(DATE(2026,5,1),0),'Contract Data'!$F12&gt;=DATE(2026,5,1)),1,"")</f>
        <v/>
      </c>
      <c r="W13" s="19">
        <f>IF(AND('Contract Data'!$E12&lt;=EOMONTH(DATE(2026,6,1),0),'Contract Data'!$F12&gt;=DATE(2026,6,1)),1,"")</f>
        <v/>
      </c>
      <c r="X13" s="18">
        <f>IF(AND('Contract Data'!$E12&lt;=EOMONTH(DATE(2026,7,1),0),'Contract Data'!$F12&gt;=DATE(2026,7,1)),1,"")</f>
        <v/>
      </c>
      <c r="Y13" s="18">
        <f>IF(AND('Contract Data'!$E12&lt;=EOMONTH(DATE(2026,8,1),0),'Contract Data'!$F12&gt;=DATE(2026,8,1)),1,"")</f>
        <v/>
      </c>
      <c r="Z13" s="18">
        <f>IF(AND('Contract Data'!$E12&lt;=EOMONTH(DATE(2026,9,1),0),'Contract Data'!$F12&gt;=DATE(2026,9,1)),1,"")</f>
        <v/>
      </c>
      <c r="AA13" s="18">
        <f>IF(AND('Contract Data'!$E12&lt;=EOMONTH(DATE(2026,10,1),0),'Contract Data'!$F12&gt;=DATE(2026,10,1)),1,"")</f>
        <v/>
      </c>
      <c r="AB13" s="18">
        <f>IF(AND('Contract Data'!$E12&lt;=EOMONTH(DATE(2026,11,1),0),'Contract Data'!$F12&gt;=DATE(2026,11,1)),1,"")</f>
        <v/>
      </c>
      <c r="AC13" s="18">
        <f>IF(AND('Contract Data'!$E12&lt;=EOMONTH(DATE(2026,12,1),0),'Contract Data'!$F12&gt;=DATE(2026,12,1)),1,"")</f>
        <v/>
      </c>
    </row>
    <row r="16">
      <c r="A16" s="26" t="inlineStr">
        <is>
          <t>LEGEND</t>
        </is>
      </c>
    </row>
    <row r="17">
      <c r="A17" s="27" t="inlineStr"/>
      <c r="B17" s="28" t="inlineStr">
        <is>
          <t>Acme Corp</t>
        </is>
      </c>
    </row>
    <row r="18">
      <c r="A18" s="29" t="inlineStr"/>
      <c r="B18" s="28" t="inlineStr">
        <is>
          <t>Blue Ridge LLC</t>
        </is>
      </c>
    </row>
    <row r="19">
      <c r="A19" s="30" t="inlineStr"/>
      <c r="B19" s="28" t="inlineStr">
        <is>
          <t>Summit Partners</t>
        </is>
      </c>
    </row>
    <row r="20">
      <c r="A20" s="31" t="inlineStr"/>
      <c r="B20" s="28" t="inlineStr">
        <is>
          <t>Horizon Group</t>
        </is>
      </c>
    </row>
    <row r="21">
      <c r="A21" s="32" t="inlineStr"/>
      <c r="B21" s="28" t="inlineStr">
        <is>
          <t>Crestview Inc</t>
        </is>
      </c>
    </row>
    <row r="22">
      <c r="A22" s="33" t="inlineStr"/>
      <c r="B22" s="34" t="inlineStr">
        <is>
          <t>Today</t>
        </is>
      </c>
    </row>
  </sheetData>
  <mergeCells count="3">
    <mergeCell ref="F2:Q2"/>
    <mergeCell ref="R2:AC2"/>
    <mergeCell ref="A1:AC1"/>
  </mergeCells>
  <conditionalFormatting sqref="F4:AC4">
    <cfRule type="expression" priority="1" dxfId="0">
      <formula>F4=1</formula>
    </cfRule>
    <cfRule type="expression" priority="2" dxfId="1">
      <formula>F4=""</formula>
    </cfRule>
  </conditionalFormatting>
  <conditionalFormatting sqref="F5:AC5">
    <cfRule type="expression" priority="3" dxfId="0">
      <formula>F5=1</formula>
    </cfRule>
    <cfRule type="expression" priority="4" dxfId="2">
      <formula>F5=""</formula>
    </cfRule>
  </conditionalFormatting>
  <conditionalFormatting sqref="F6:AC6">
    <cfRule type="expression" priority="5" dxfId="3">
      <formula>F6=1</formula>
    </cfRule>
    <cfRule type="expression" priority="6" dxfId="1">
      <formula>F6=""</formula>
    </cfRule>
  </conditionalFormatting>
  <conditionalFormatting sqref="F7:AC7">
    <cfRule type="expression" priority="7" dxfId="3">
      <formula>F7=1</formula>
    </cfRule>
    <cfRule type="expression" priority="8" dxfId="2">
      <formula>F7=""</formula>
    </cfRule>
  </conditionalFormatting>
  <conditionalFormatting sqref="F8:AC8">
    <cfRule type="expression" priority="9" dxfId="4">
      <formula>F8=1</formula>
    </cfRule>
    <cfRule type="expression" priority="10" dxfId="1">
      <formula>F8=""</formula>
    </cfRule>
  </conditionalFormatting>
  <conditionalFormatting sqref="F9:AC9">
    <cfRule type="expression" priority="11" dxfId="4">
      <formula>F9=1</formula>
    </cfRule>
    <cfRule type="expression" priority="12" dxfId="2">
      <formula>F9=""</formula>
    </cfRule>
  </conditionalFormatting>
  <conditionalFormatting sqref="F10:AC10">
    <cfRule type="expression" priority="13" dxfId="5">
      <formula>F10=1</formula>
    </cfRule>
    <cfRule type="expression" priority="14" dxfId="1">
      <formula>F10=""</formula>
    </cfRule>
  </conditionalFormatting>
  <conditionalFormatting sqref="F11:AC11">
    <cfRule type="expression" priority="15" dxfId="5">
      <formula>F11=1</formula>
    </cfRule>
    <cfRule type="expression" priority="16" dxfId="2">
      <formula>F11=""</formula>
    </cfRule>
  </conditionalFormatting>
  <conditionalFormatting sqref="F12:AC12">
    <cfRule type="expression" priority="17" dxfId="6">
      <formula>F12=1</formula>
    </cfRule>
    <cfRule type="expression" priority="18" dxfId="1">
      <formula>F12=""</formula>
    </cfRule>
  </conditionalFormatting>
  <conditionalFormatting sqref="F13:AC13">
    <cfRule type="expression" priority="19" dxfId="6">
      <formula>F13=1</formula>
    </cfRule>
    <cfRule type="expression" priority="20" dxfId="2">
      <formula>F13=""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2026-06-02T16:24:38Z</dcterms:created>
  <dcterms:modified xsi:type="dcterms:W3CDTF">2026-06-02T16:24:38Z</dcterms:modified>
</cp:coreProperties>
</file>